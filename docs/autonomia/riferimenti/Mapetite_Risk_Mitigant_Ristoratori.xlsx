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sk &amp; Mitigant" sheetId="1" state="visible" r:id="rId3"/>
    <sheet name="Legenda" sheetId="2" state="visible" r:id="rId4"/>
    <sheet name="Fonti" sheetId="3" state="visible" r:id="rId5"/>
  </sheets>
  <definedNames>
    <definedName function="false" hidden="true" localSheetId="0" name="_xlnm._FilterDatabase" vbProcedure="false">'Risk &amp; Mitigant'!$A$4:$Q$17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<sst xmlns="http://schemas.openxmlformats.org/spreadsheetml/2006/main" count="228" uniqueCount="187">
  <si>
    <t xml:space="preserve">Mapetite – Problemi dei ristoratori: risk &amp; mitigant e fattibilità</t>
  </si>
  <si>
    <t xml:space="preserve">Versione 17/10/2026 · Punteggi 1–5 in blu = stima qualitativa da validare · Score e ranking calcolati con i pesi del foglio Legenda</t>
  </si>
  <si>
    <t xml:space="preserve">#</t>
  </si>
  <si>
    <t xml:space="preserve">Area</t>
  </si>
  <si>
    <t xml:space="preserve">Problema (rischio per il ristoratore)</t>
  </si>
  <si>
    <t xml:space="preserve">Evidenza / dato</t>
  </si>
  <si>
    <t xml:space="preserve">Fonte</t>
  </si>
  <si>
    <t xml:space="preserve">Mitigant (come si risolve)</t>
  </si>
  <si>
    <t xml:space="preserve">Feature in Mapetite</t>
  </si>
  <si>
    <t xml:space="preserve">Complessità tecnica</t>
  </si>
  <si>
    <t xml:space="preserve">Prerequisiti e vincoli</t>
  </si>
  <si>
    <t xml:space="preserve">Dipendenza da utenti Mapetite</t>
  </si>
  <si>
    <t xml:space="preserve">Già presidiato da</t>
  </si>
  <si>
    <t xml:space="preserve">Fase consigliata</t>
  </si>
  <si>
    <t xml:space="preserve">Valore ristoratore (1–5)</t>
  </si>
  <si>
    <t xml:space="preserve">Vantaggio Mapetite (1–5)</t>
  </si>
  <si>
    <t xml:space="preserve">Fattibilità (1–5)</t>
  </si>
  <si>
    <t xml:space="preserve">Score</t>
  </si>
  <si>
    <t xml:space="preserve">Rank</t>
  </si>
  <si>
    <t xml:space="preserve">Prenotazioni</t>
  </si>
  <si>
    <t xml:space="preserve">No-show e prenotazioni multiple: il cliente prenota più locali per la stessa sera e si presenta in uno solo, senza avvisare.</t>
  </si>
  <si>
    <t xml:space="preserve">No-show medio 12,8% delle prenotazioni; il 33,8% delle prenotazioni subisce variazioni, cancellazioni o no-show. La pre-autorizzazione su carta riduce i no-show di circa 3 volte (ristoranti stellati).</t>
  </si>
  <si>
    <t xml:space="preserve">S1, S2, S4</t>
  </si>
  <si>
    <t xml:space="preserve">Garanzia con carta / caparra + reminder con conferma attiva e rilascio del tavolo in un tap (il no-show diventa cancellazione anticipata).</t>
  </si>
  <si>
    <t xml:space="preserve">"Link garanzia": il ristoratore che prende prenotazioni al telefono o su WhatsApp invia un link Mapetite; il cliente salva la carta, la penale si addebita solo in caso di no-show secondo la policy del locale. Reminder automatici T-24h / T-3h con "Confermo" / "Libero il tavolo".</t>
  </si>
  <si>
    <t xml:space="preserve">Media</t>
  </si>
  <si>
    <t xml:space="preserve">Stripe Connect (onboarding/KYC esercente), salvataggio carta per addebito successivo, autenticazione forte (SCA), policy e T&amp;C chiari (parere legale), gestione contestazioni. Mini-pannello ristoratore.</t>
  </si>
  <si>
    <t xml:space="preserve">Bassa – funziona anche con i clienti propri del locale (cuneo B2B senza massa critica)</t>
  </si>
  <si>
    <t xml:space="preserve">TheFork (garanzia carta ai partner), Cooperto, gestionali internazionali (es. SevenRooms, Tock)</t>
  </si>
  <si>
    <t xml:space="preserve">Fase 2</t>
  </si>
  <si>
    <t xml:space="preserve">Tavolo liberato all'ultimo minuto che resta vuoto: anche se il cliente avvisa, non c'è tempo per riempirlo.</t>
  </si>
  <si>
    <t xml:space="preserve">n.d. – da validare con interviste (tasso di ri-occupazione dei tavoli cancellati).</t>
  </si>
  <si>
    <t xml:space="preserve">—</t>
  </si>
  <si>
    <t xml:space="preserve">Rivendere subito il tavolo a domanda vicina e già intenzionata.</t>
  </si>
  <si>
    <t xml:space="preserve">"Tavolo appena liberato": il ristoratore preme un pulsante (o si attiva in automatico dalla cancellazione della riga 1); gli utenti Mapetite che stanno cercando in zona o hanno salvato il locale ricevono badge/notifica. Unisce discovery e intento: è nativo per Mapetite.</t>
  </si>
  <si>
    <t xml:space="preserve">Notifiche push della PWA (su iPhone solo se l'app è aggiunta alla schermata Home), filtro per zona/ricerca attiva, pannello ristoratore.</t>
  </si>
  <si>
    <t xml:space="preserve">Alta – serve densità di utenti attivi nella stessa zona e fascia oraria</t>
  </si>
  <si>
    <t xml:space="preserve">Da verificare (formula real-time poco diffusa in Italia: non documentato)</t>
  </si>
  <si>
    <t xml:space="preserve">Fase 3</t>
  </si>
  <si>
    <t xml:space="preserve">Prenotazioni perse fuori orario: il cliente cerca la sera o la mattina, il locale è chiuso o al telefono non risponde nessuno.</t>
  </si>
  <si>
    <t xml:space="preserve">Il 51,5% delle prenotazioni arriva quando il locale è chiuso; 8 ristoranti su 10 usano ancora l'agenda cartacea.</t>
  </si>
  <si>
    <t xml:space="preserve">S3</t>
  </si>
  <si>
    <t xml:space="preserve">Canale di richiesta asincrono 24/7, senza obbligo di gestionale.</t>
  </si>
  <si>
    <t xml:space="preserve">Pulsante "Richiedi tavolo" nella scheda locale: richiesta strutturata (data, ora, persone, note) inviata al ristoratore via email (poi WhatsApp); conferma con un tap. Nessuna integrazione con il gestionale del locale.</t>
  </si>
  <si>
    <t xml:space="preserve">Bassa-Media</t>
  </si>
  <si>
    <t xml:space="preserve">Email transazionale; WhatsApp Business API in seconda battuta (costi e approvazione Meta). Gestione stato richiesta lato utente.</t>
  </si>
  <si>
    <t xml:space="preserve">Media – utile anche con pochi utenti, cresce con il traffico</t>
  </si>
  <si>
    <t xml:space="preserve">TheFork, Cooperto, gestionali di prenotazione</t>
  </si>
  <si>
    <t xml:space="preserve">Costi di intermediazione</t>
  </si>
  <si>
    <t xml:space="preserve">Commissioni per coperto delle piattaforme di prenotazione, percepite come elevate e unilaterali.</t>
  </si>
  <si>
    <t xml:space="preserve">TheFork piano base: €2–4 + IVA per coperto a cena (dato 2017); aumento del 12,6% nel 2023 contestato da Fipe.</t>
  </si>
  <si>
    <t xml:space="preserve">S5, S6</t>
  </si>
  <si>
    <t xml:space="preserve">Modello di prezzo prevedibile: canone fisso, zero commissione per coperto.</t>
  </si>
  <si>
    <t xml:space="preserve">Scelta di business model, non di codice: abbonamento mensile flat per le funzioni B2B (righe 1, 3, 7, 8), nessuna fee per coperto. Messaggio pitch: Mapetite è dalla parte del ristoratore.</t>
  </si>
  <si>
    <t xml:space="preserve">Bassa</t>
  </si>
  <si>
    <t xml:space="preserve">Da fissare nel business plan con Roberto; coerenza con le proiezioni di ricavo.</t>
  </si>
  <si>
    <t xml:space="preserve">Alta – il ristoratore paga un canone solo se Mapetite porta clienti</t>
  </si>
  <si>
    <t xml:space="preserve">Ora (decisione pitch)</t>
  </si>
  <si>
    <t xml:space="preserve">Commissioni delle piattaforme di delivery che azzerano il margine sugli ordini a domicilio.</t>
  </si>
  <si>
    <t xml:space="preserve">Commissioni 22–35% sull'ordine (Italia, 2020); 25–35% Deliveroo/Glovo (griglie Francia 2026).</t>
  </si>
  <si>
    <t xml:space="preserve">S7, S8</t>
  </si>
  <si>
    <t xml:space="preserve">Ordine diretto / ritiro al locale.</t>
  </si>
  <si>
    <t xml:space="preserve">NON entrare nel delivery (logistica, rider, capitale). Al massimo un link "Ordina direttamente dal locale" in scheda, se il locale lo fornisce.</t>
  </si>
  <si>
    <t xml:space="preserve">Alta</t>
  </si>
  <si>
    <t xml:space="preserve">Logistica, rider, pagamenti, assistenza: fuori portata e fuori core.</t>
  </si>
  <si>
    <t xml:space="preserve">Glovo, Deliveroo, Just Eat, Uber Eats</t>
  </si>
  <si>
    <t xml:space="preserve">Non fare</t>
  </si>
  <si>
    <t xml:space="preserve">Reputazione</t>
  </si>
  <si>
    <t xml:space="preserve">Recensioni false e ricatti ("paga o ti affossiamo"), review bombing dopo licenziamenti o per concorrenza.</t>
  </si>
  <si>
    <t xml:space="preserve">Il 60% dei ristoratori dichiara danni da recensioni false; l'8,6% delle recensioni 2024 sulle principali piattaforme è risultato falso. Casi documentati di offerte da 100 recensioni per €400 con minacce.</t>
  </si>
  <si>
    <t xml:space="preserve">S9, S10</t>
  </si>
  <si>
    <t xml:space="preserve">Segnali verificati e lettura dei pattern ricorrenti, non dei singoli voti.</t>
  </si>
  <si>
    <t xml:space="preserve">(a) Il verdict AI sintetizza già pattern ricorrenti con vincolo anti-invenzione; (b) recensioni interne Mapetite solo da utenti con visita verificata (es. prenotazione via Mapetite); (c) badge "Recensioni verificate Mapetite" esportabile dal ristoratore.</t>
  </si>
  <si>
    <t xml:space="preserve">Google Places restituisce al massimo 5 recensioni per locale: l'analisi anti-anomalie su dati Google non è possibile, solo su recensioni interne. Policy di moderazione.</t>
  </si>
  <si>
    <t xml:space="preserve">Alta per (b) e (c); (a) già operativo</t>
  </si>
  <si>
    <t xml:space="preserve">Google e TripAdvisor (con efficacia contestata dai ristoratori)</t>
  </si>
  <si>
    <t xml:space="preserve">Visibilità</t>
  </si>
  <si>
    <t xml:space="preserve">Locali di qualità con poche recensioni penalizzati dagli algoritmi basati su volume e stelle.</t>
  </si>
  <si>
    <t xml:space="preserve">n.d. – è la tesi di Mapetite; da validare con interviste e con dati d'uso.</t>
  </si>
  <si>
    <t xml:space="preserve">Discovery basata sul match tra intento dell'utente e caratteristiche reali del locale.</t>
  </si>
  <si>
    <t xml:space="preserve">Già core (ricerca AI + verdict). Lato B2B: profilo rivendicato con informazioni curate dal locale (specialità, occasioni, atmosfera) che migliorano il matching. Nessun posizionamento a pagamento mescolato ai risultati organici: eventuale sponsorizzato solo etichettato e separato.</t>
  </si>
  <si>
    <t xml:space="preserve">Verifica della titolarità del locale; regole editoriali scritte su organico vs sponsorizzato (credibilità verso utenti e investitori).</t>
  </si>
  <si>
    <t xml:space="preserve">Media – il profilo ha valore solo se l'app ha traffico</t>
  </si>
  <si>
    <t xml:space="preserve">Google Business Profile, TheFork, TripAdvisor</t>
  </si>
  <si>
    <t xml:space="preserve">Dati di mercato</t>
  </si>
  <si>
    <t xml:space="preserve">Il ristoratore non sa cosa cercano i clienti nella sua zona né perché viene scelto o scartato.</t>
  </si>
  <si>
    <t xml:space="preserve">n.d. – da validare con interviste.</t>
  </si>
  <si>
    <t xml:space="preserve">Insight sulla domanda espressa (ricerche reali) e sulla propria performance.</t>
  </si>
  <si>
    <t xml:space="preserve">"Insight di domanda": dashboard aggregata dalle ricerche Mapetite – intenti più cercati in zona (es. "brunch vegano", "rooftop romantico"), quante volte il locale è apparso, aperto, salvato; domanda senza risposta in zona. Dato proprietario = argomento "data moat" per gli investitori.</t>
  </si>
  <si>
    <t xml:space="preserve">Prerequisito: tabella search_logs (già in coda) – iniziare a registrare ORA. Solo dati aggregati e anonimi (GDPR, informativa).</t>
  </si>
  <si>
    <t xml:space="preserve">Molto alta – serve volume statistico per zona</t>
  </si>
  <si>
    <t xml:space="preserve">Da verificare</t>
  </si>
  <si>
    <t xml:space="preserve">Fase 3 (logging subito)</t>
  </si>
  <si>
    <t xml:space="preserve">Fidelizzazione</t>
  </si>
  <si>
    <t xml:space="preserve">Clienti che non tornano; pochi locali hanno CRM o programmi fedeltà.</t>
  </si>
  <si>
    <t xml:space="preserve">CRM attivo nel 41% dei ristoranti, loyalty nel 27%; ritorno entro 60 giorni 34% senza loyalty vs 48% con loyalty attiva.</t>
  </si>
  <si>
    <t xml:space="preserve">S1</t>
  </si>
  <si>
    <t xml:space="preserve">Canale leggero di contatto con chi ha già mostrato interesse.</t>
  </si>
  <si>
    <t xml:space="preserve">Chi ha salvato il locale diventa "follower": il ristoratore può inviare max 1 aggiornamento al mese (nuovo menu, evento) a chi ha dato consenso. Niente CRM completo.</t>
  </si>
  <si>
    <t xml:space="preserve">Consenso marketing (GDPR), limiti anti-spam, gestione disiscrizione.</t>
  </si>
  <si>
    <t xml:space="preserve">Alta – il valore cresce con i salvataggi</t>
  </si>
  <si>
    <t xml:space="preserve">CRM di settore, gestionali di prenotazione</t>
  </si>
  <si>
    <t xml:space="preserve">Informazioni errate o non aggiornate (orari, chiusure straordinarie, menu) che fanno perdere clienti o generano recensioni negative.</t>
  </si>
  <si>
    <t xml:space="preserve">Il locale corregge direttamente le proprie informazioni.</t>
  </si>
  <si>
    <t xml:space="preserve">Nel profilo rivendicato (riga 7): modifica di orari speciali, chiusure, menu (foto/PDF), con priorità sui dati Google in visualizzazione.</t>
  </si>
  <si>
    <t xml:space="preserve">Verifica titolarità; regola di precedenza dato locale vs Google.</t>
  </si>
  <si>
    <t xml:space="preserve">Google Business Profile</t>
  </si>
  <si>
    <t xml:space="preserve">Domanda</t>
  </si>
  <si>
    <t xml:space="preserve">Fasce orarie deboli (pranzo, inizio settimana) con sala vuota e costi fissi invariati.</t>
  </si>
  <si>
    <t xml:space="preserve">Proposte mirate sulle fasce deboli, mostrate solo a chi cerca qualcosa di coerente.</t>
  </si>
  <si>
    <t xml:space="preserve">"Occasioni": il ristoratore pubblica una proposta su una fascia (es. menu pranzo, degustazione del martedì); compare nei risultati solo se pertinente alla ricerca, senza logica da sconto aggressivo.</t>
  </si>
  <si>
    <t xml:space="preserve">Regole di pertinenza nel ranking; evitare l'effetto "app di sconti" che svaluta il posizionamento.</t>
  </si>
  <si>
    <t xml:space="preserve">TheFork (promozioni)</t>
  </si>
  <si>
    <t xml:space="preserve">Operatività</t>
  </si>
  <si>
    <t xml:space="preserve">Carenza di personale qualificato.</t>
  </si>
  <si>
    <t xml:space="preserve">Un'impresa su due dichiara difficoltà nel reperire personale (Rapporto Ristorazione Fipe 2026).</t>
  </si>
  <si>
    <t xml:space="preserve">S11</t>
  </si>
  <si>
    <t xml:space="preserve">Ridurre il lavoro manuale non di servizio.</t>
  </si>
  <si>
    <t xml:space="preserve">NON fare un prodotto di recruiting/staffing. Beneficio indiretto: richieste di prenotazione strutturate (riga 3) riducono il tempo al telefono.</t>
  </si>
  <si>
    <t xml:space="preserve">Fuori core.</t>
  </si>
  <si>
    <t xml:space="preserve">Piattaforme di recruiting e staffing dedicate</t>
  </si>
  <si>
    <t xml:space="preserve">Economics</t>
  </si>
  <si>
    <t xml:space="preserve">Margini compressi da materie prime, energia, affitti e fisco.</t>
  </si>
  <si>
    <t xml:space="preserve">Margini compressi da costi di materie prime, energia, affitti e pressione fiscale; 29.097 cessazioni contro 10.719 aperture nel 2024.</t>
  </si>
  <si>
    <t xml:space="preserve">S12, S13</t>
  </si>
  <si>
    <t xml:space="preserve">Software di food cost / acquisti.</t>
  </si>
  <si>
    <t xml:space="preserve">NON fare. Beneficio indiretto: più coperti su fasce deboli (riga 11) e meno no-show (riga 1).</t>
  </si>
  <si>
    <t xml:space="preserve">Gestionali di magazzino e food cost</t>
  </si>
  <si>
    <t xml:space="preserve">Legenda e pesi dello score</t>
  </si>
  <si>
    <t xml:space="preserve">Peso</t>
  </si>
  <si>
    <t xml:space="preserve">Criterio</t>
  </si>
  <si>
    <t xml:space="preserve">Valore peso</t>
  </si>
  <si>
    <t xml:space="preserve">Cosa misura</t>
  </si>
  <si>
    <t xml:space="preserve">w1</t>
  </si>
  <si>
    <t xml:space="preserve">Valore per il ristoratore</t>
  </si>
  <si>
    <t xml:space="preserve">Quanto il problema pesa sul conto economico del locale → disponibilità a pagare (1 = marginale, 5 = critico)</t>
  </si>
  <si>
    <t xml:space="preserve">w2</t>
  </si>
  <si>
    <t xml:space="preserve">Vantaggio distintivo Mapetite</t>
  </si>
  <si>
    <t xml:space="preserve">Quanto Mapetite è in posizione migliore dei concorrenti per risolverlo, grazie a ricerca AI, verdict, dati di intento (1 = nessun vantaggio, 5 = nativo)</t>
  </si>
  <si>
    <t xml:space="preserve">w3</t>
  </si>
  <si>
    <t xml:space="preserve">Fattibilità</t>
  </si>
  <si>
    <t xml:space="preserve">Facilità di realizzazione con il team attuale (Lorenzo + Claude + freelance): tecnica, legale, integrazioni (1 = proibitiva, 5 = immediata)</t>
  </si>
  <si>
    <t xml:space="preserve">Totale pesi</t>
  </si>
  <si>
    <t xml:space="preserve">•</t>
  </si>
  <si>
    <t xml:space="preserve">Score = Valore×w1 + Vantaggio×w2 + Fattibilità×w3 (scala 1–5). I pesi in giallo sono modificabili: lo score e il ranking si ricalcolano.</t>
  </si>
  <si>
    <t xml:space="preserve">I punteggi 1–5 (testo blu nel foglio principale) sono una valutazione qualitativa di Claude, NON dati: vanno rivisti con Roberto e validati con interviste ai ristoratori.</t>
  </si>
  <si>
    <t xml:space="preserve">Colonna 'Evidenza': riporta solo dati con fonte (foglio Fonti). Dove scritto 'n.d. – da validare' non è stato trovato un dato affidabile.</t>
  </si>
  <si>
    <t xml:space="preserve">Fasi: 'Ora' = decisione da prendere già per il pitch · 'Fase 2' = pilota B2B con 3–5 locali dopo il lancio ai tester · 'Fase 3' = richiede massa critica di utenti · 'Non fare' = fuori dal core.</t>
  </si>
  <si>
    <t xml:space="preserve">Fonti</t>
  </si>
  <si>
    <t xml:space="preserve">Rif.</t>
  </si>
  <si>
    <t xml:space="preserve">URL</t>
  </si>
  <si>
    <t xml:space="preserve">Osservatorio Incrementoo-Ristorazione 2025 (212.000 prenotazioni, 300 ristoranti, gen–ago 2025) – via Beverfood</t>
  </si>
  <si>
    <t xml:space="preserve">https://www.beverfood.com/ristorazione-2025-prenotazioni-digitali-e-fidelizzazione/</t>
  </si>
  <si>
    <t xml:space="preserve">S2</t>
  </si>
  <si>
    <t xml:space="preserve">Incrementoo: 33,8% prenotazioni variate/cancellate/no-show – via BusinessOnline</t>
  </si>
  <si>
    <t xml:space="preserve">https://www.businessonline.it/news/cosa-si-rischia-se-si-prenota-al-ristorante-e-non-ci-si-presenta_n83960.html</t>
  </si>
  <si>
    <t xml:space="preserve">Cooperto, analisi 500.000 prenotazioni gen–set 2025 – via Panorama</t>
  </si>
  <si>
    <t xml:space="preserve">https://www.panorama.it/attualita/economia/prenotazioni-online-e-cancellazioni-lampo-otto-ristoranti-su-dieci-rischiano-di-perdere-la-meta-dei-clienti</t>
  </si>
  <si>
    <t xml:space="preserve">S4</t>
  </si>
  <si>
    <t xml:space="preserve">InTotheMinds, ricerca su 39 ristoranti stellati in 18 Paesi (pre-autorizzazione carta)</t>
  </si>
  <si>
    <t xml:space="preserve">https://www.intotheminds.com/blog/it/carta-di-credito-deposito-ristorante/</t>
  </si>
  <si>
    <t xml:space="preserve">S5</t>
  </si>
  <si>
    <t xml:space="preserve">La Rassegna – condizioni TheFork per ristoratori (dato 2017, da aggiornare)</t>
  </si>
  <si>
    <t xml:space="preserve">https://www.larassegna.it/scarica-pdf/prenotazioni-on-line-per-i-ristoratori-una-sfida-da-non-rimandare/</t>
  </si>
  <si>
    <t xml:space="preserve">S6</t>
  </si>
  <si>
    <t xml:space="preserve">CorCom – aumento commissioni TheFork +12,6% (gen 2023), posizione Fipe</t>
  </si>
  <si>
    <t xml:space="preserve">https://www.corrierecomunicazioni.it/digital-economy/the-fork-le-commissioni-salgono-del-126-fipe-aumenti-ingiustificati/</t>
  </si>
  <si>
    <t xml:space="preserve">S7</t>
  </si>
  <si>
    <t xml:space="preserve">Gambero Rosso – costo del delivery per i ristoranti (Italia, 2020)</t>
  </si>
  <si>
    <t xml:space="preserve">https://www.gamberorosso.it/notizie/quanto-costa-il-food-delivery-ai-ristoranti-conviene-davvero/</t>
  </si>
  <si>
    <t xml:space="preserve">S8</t>
  </si>
  <si>
    <t xml:space="preserve">Fooderise – commissioni piattaforme delivery (griglie Francia 2026)</t>
  </si>
  <si>
    <t xml:space="preserve">https://www.fooderise.com/en/platforms</t>
  </si>
  <si>
    <t xml:space="preserve">S9</t>
  </si>
  <si>
    <t xml:space="preserve">Gambero Rosso – impatto recensioni false (sondaggio Epam, giu 2025)</t>
  </si>
  <si>
    <t xml:space="preserve">https://www.gamberorosso.it/notizie/attualita/recensioni-negative-ristoranti-impatti-dati/</t>
  </si>
  <si>
    <t xml:space="preserve">S10</t>
  </si>
  <si>
    <t xml:space="preserve">Gambero Rosso – inchiesta racket recensioni</t>
  </si>
  <si>
    <t xml:space="preserve">https://www.gamberorosso.it/ristoranti/recensioni-false/</t>
  </si>
  <si>
    <t xml:space="preserve">Milano Finanza – Rapporto Ristorazione Fipe 2026 (personale)</t>
  </si>
  <si>
    <t xml:space="preserve">https://www.milanofinanza.it/news/ristorazione-nel-2025-i-consumi-aumentato-a-100-miliardi-ma-restano-sotto-il-livello-pre-covid-202604091301405893</t>
  </si>
  <si>
    <t xml:space="preserve">S12</t>
  </si>
  <si>
    <t xml:space="preserve">Gambero Rosso – Rapporto Fipe 2025 (imprese aperte/cessate 2024)</t>
  </si>
  <si>
    <t xml:space="preserve">https://www.gamberorosso.it/notizie/attualita/ristorazione-rapporto-fipe-2025/</t>
  </si>
  <si>
    <t xml:space="preserve">S13</t>
  </si>
  <si>
    <t xml:space="preserve">BusinessOnline – Rapporto Fipe 2025 (margini e costi)</t>
  </si>
  <si>
    <t xml:space="preserve">https://www.businessonline.it/news/come-va-ristorazione-italia-dati-statistiche-fatturazione-utili_n77121.html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</si>
</sst>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General"/>
    <numFmt numFmtId="167" formatCode="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A3C4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name val="Arial"/>
      <family val="0"/>
      <charset val="1"/>
    </font>
    <font>
      <sz val="9"/>
      <color rgb="FF0000FF"/>
      <name val="Arial"/>
      <family val="0"/>
      <charset val="1"/>
    </font>
    <font>
      <sz val="9"/>
      <name val="Arial"/>
      <family val="0"/>
      <charset val="1"/>
    </font>
    <font>
      <b val="true"/>
      <sz val="13"/>
      <color rgb="FF1A3C4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theme="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00"/>
      <name val="Arial"/>
      <family val="0"/>
      <charset val="1"/>
    </font>
    <font>
      <u val="single"/>
      <sz val="11"/>
      <color rgb="FF0563C1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A3C40"/>
        <bgColor rgb="FF003366"/>
      </patternFill>
    </fill>
    <fill>
      <patternFill patternType="solid">
        <fgColor rgb="FFE2EFDA"/>
        <bgColor rgb="FFEDEDED"/>
      </patternFill>
    </fill>
    <fill>
      <patternFill patternType="solid">
        <fgColor rgb="FFFFF2CC"/>
        <bgColor rgb="FFFDE9E4"/>
      </patternFill>
    </fill>
    <fill>
      <patternFill patternType="solid">
        <fgColor rgb="FFFDE9E4"/>
        <bgColor rgb="FFEDEDED"/>
      </patternFill>
    </fill>
    <fill>
      <patternFill patternType="solid">
        <fgColor rgb="FFEDEDED"/>
        <bgColor rgb="FFE2EFDA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4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A3C4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DE9E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DEDED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DE9E4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3C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beverfood.com/ristorazione-2025-prenotazioni-digitali-e-fidelizzazione/" TargetMode="External"/><Relationship Id="rId2" Type="http://schemas.openxmlformats.org/officeDocument/2006/relationships/hyperlink" Target="https://www.businessonline.it/news/cosa-si-rischia-se-si-prenota-al-ristorante-e-non-ci-si-presenta_n83960.html" TargetMode="External"/><Relationship Id="rId3" Type="http://schemas.openxmlformats.org/officeDocument/2006/relationships/hyperlink" Target="https://www.panorama.it/attualita/economia/prenotazioni-online-e-cancellazioni-lampo-otto-ristoranti-su-dieci-rischiano-di-perdere-la-meta-dei-clienti" TargetMode="External"/><Relationship Id="rId4" Type="http://schemas.openxmlformats.org/officeDocument/2006/relationships/hyperlink" Target="https://www.intotheminds.com/blog/it/carta-di-credito-deposito-ristorante/" TargetMode="External"/><Relationship Id="rId5" Type="http://schemas.openxmlformats.org/officeDocument/2006/relationships/hyperlink" Target="https://www.larassegna.it/scarica-pdf/prenotazioni-on-line-per-i-ristoratori-una-sfida-da-non-rimandare/" TargetMode="External"/><Relationship Id="rId6" Type="http://schemas.openxmlformats.org/officeDocument/2006/relationships/hyperlink" Target="https://www.corrierecomunicazioni.it/digital-economy/the-fork-le-commissioni-salgono-del-126-fipe-aumenti-ingiustificati/" TargetMode="External"/><Relationship Id="rId7" Type="http://schemas.openxmlformats.org/officeDocument/2006/relationships/hyperlink" Target="https://www.gamberorosso.it/notizie/quanto-costa-il-food-delivery-ai-ristoranti-conviene-davvero/" TargetMode="External"/><Relationship Id="rId8" Type="http://schemas.openxmlformats.org/officeDocument/2006/relationships/hyperlink" Target="https://www.fooderise.com/en/platforms" TargetMode="External"/><Relationship Id="rId9" Type="http://schemas.openxmlformats.org/officeDocument/2006/relationships/hyperlink" Target="https://www.gamberorosso.it/notizie/attualita/recensioni-negative-ristoranti-impatti-dati/" TargetMode="External"/><Relationship Id="rId10" Type="http://schemas.openxmlformats.org/officeDocument/2006/relationships/hyperlink" Target="https://www.gamberorosso.it/ristoranti/recensioni-false/" TargetMode="External"/><Relationship Id="rId11" Type="http://schemas.openxmlformats.org/officeDocument/2006/relationships/hyperlink" Target="https://www.milanofinanza.it/news/ristorazione-nel-2025-i-consumi-aumentato-a-100-miliardi-ma-restano-sotto-il-livello-pre-covid-202604091301405893" TargetMode="External"/><Relationship Id="rId12" Type="http://schemas.openxmlformats.org/officeDocument/2006/relationships/hyperlink" Target="https://www.gamberorosso.it/notizie/attualita/ristorazione-rapporto-fipe-2025/" TargetMode="External"/><Relationship Id="rId13" Type="http://schemas.openxmlformats.org/officeDocument/2006/relationships/hyperlink" Target="https://www.businessonline.it/news/come-va-ristorazione-italia-dati-statistiche-fatturazione-utili_n77121.html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17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3"/>
    <col collapsed="false" customWidth="true" hidden="false" outlineLevel="0" max="3" min="3" style="0" width="30"/>
    <col collapsed="false" customWidth="true" hidden="false" outlineLevel="0" max="4" min="4" style="0" width="38"/>
    <col collapsed="false" customWidth="true" hidden="false" outlineLevel="0" max="5" min="5" style="0" width="8"/>
    <col collapsed="false" customWidth="true" hidden="false" outlineLevel="0" max="6" min="6" style="0" width="28"/>
    <col collapsed="false" customWidth="true" hidden="false" outlineLevel="0" max="7" min="7" style="0" width="48"/>
    <col collapsed="false" customWidth="true" hidden="false" outlineLevel="0" max="8" min="8" style="0" width="11"/>
    <col collapsed="false" customWidth="true" hidden="false" outlineLevel="0" max="9" min="9" style="0" width="38"/>
    <col collapsed="false" customWidth="true" hidden="false" outlineLevel="0" max="10" min="10" style="0" width="22"/>
    <col collapsed="false" customWidth="true" hidden="false" outlineLevel="0" max="11" min="11" style="0" width="24"/>
    <col collapsed="false" customWidth="true" hidden="false" outlineLevel="0" max="12" min="12" style="0" width="13"/>
    <col collapsed="false" customWidth="true" hidden="false" outlineLevel="0" max="15" min="13" style="0" width="10"/>
    <col collapsed="false" customWidth="true" hidden="false" outlineLevel="0" max="16" min="16" style="0" width="8"/>
    <col collapsed="false" customWidth="true" hidden="false" outlineLevel="0" max="17" min="17" style="0" width="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42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</row>
    <row r="5" customFormat="false" ht="120" hidden="false" customHeight="true" outlineLevel="0" collapsed="false">
      <c r="A5" s="4" t="n">
        <v>1</v>
      </c>
      <c r="B5" s="5" t="s">
        <v>19</v>
      </c>
      <c r="C5" s="5" t="s">
        <v>20</v>
      </c>
      <c r="D5" s="5" t="s">
        <v>21</v>
      </c>
      <c r="E5" s="4" t="s">
        <v>22</v>
      </c>
      <c r="F5" s="5" t="s">
        <v>23</v>
      </c>
      <c r="G5" s="5" t="s">
        <v>24</v>
      </c>
      <c r="H5" s="4" t="s">
        <v>25</v>
      </c>
      <c r="I5" s="5" t="s">
        <v>26</v>
      </c>
      <c r="J5" s="5" t="s">
        <v>27</v>
      </c>
      <c r="K5" s="5" t="s">
        <v>28</v>
      </c>
      <c r="L5" s="6" t="s">
        <v>29</v>
      </c>
      <c r="M5" s="7" t="n">
        <v>5</v>
      </c>
      <c r="N5" s="7" t="n">
        <v>2</v>
      </c>
      <c r="O5" s="7" t="n">
        <v>3</v>
      </c>
      <c r="P5" s="8" t="n">
        <f aca="false">M5*Legenda!$C$4+N5*Legenda!$C$5+O5*Legenda!$C$6</f>
        <v>3.45</v>
      </c>
      <c r="Q5" s="9" t="n">
        <f aca="false">RANK(P5,$P$5:$P$17)</f>
        <v>7</v>
      </c>
    </row>
    <row r="6" customFormat="false" ht="120" hidden="false" customHeight="true" outlineLevel="0" collapsed="false">
      <c r="A6" s="4" t="n">
        <v>2</v>
      </c>
      <c r="B6" s="5" t="s">
        <v>19</v>
      </c>
      <c r="C6" s="5" t="s">
        <v>30</v>
      </c>
      <c r="D6" s="5" t="s">
        <v>31</v>
      </c>
      <c r="E6" s="4" t="s">
        <v>32</v>
      </c>
      <c r="F6" s="5" t="s">
        <v>33</v>
      </c>
      <c r="G6" s="5" t="s">
        <v>34</v>
      </c>
      <c r="H6" s="4" t="s">
        <v>25</v>
      </c>
      <c r="I6" s="5" t="s">
        <v>35</v>
      </c>
      <c r="J6" s="5" t="s">
        <v>36</v>
      </c>
      <c r="K6" s="5" t="s">
        <v>37</v>
      </c>
      <c r="L6" s="10" t="s">
        <v>38</v>
      </c>
      <c r="M6" s="7" t="n">
        <v>4</v>
      </c>
      <c r="N6" s="7" t="n">
        <v>5</v>
      </c>
      <c r="O6" s="7" t="n">
        <v>3</v>
      </c>
      <c r="P6" s="8" t="n">
        <f aca="false">M6*Legenda!$C$4+N6*Legenda!$C$5+O6*Legenda!$C$6</f>
        <v>4.1</v>
      </c>
      <c r="Q6" s="9" t="n">
        <f aca="false">RANK(P6,$P$5:$P$17)</f>
        <v>3</v>
      </c>
    </row>
    <row r="7" customFormat="false" ht="120" hidden="false" customHeight="true" outlineLevel="0" collapsed="false">
      <c r="A7" s="4" t="n">
        <v>3</v>
      </c>
      <c r="B7" s="5" t="s">
        <v>19</v>
      </c>
      <c r="C7" s="5" t="s">
        <v>39</v>
      </c>
      <c r="D7" s="5" t="s">
        <v>40</v>
      </c>
      <c r="E7" s="4" t="s">
        <v>41</v>
      </c>
      <c r="F7" s="5" t="s">
        <v>42</v>
      </c>
      <c r="G7" s="5" t="s">
        <v>43</v>
      </c>
      <c r="H7" s="4" t="s">
        <v>44</v>
      </c>
      <c r="I7" s="5" t="s">
        <v>45</v>
      </c>
      <c r="J7" s="5" t="s">
        <v>46</v>
      </c>
      <c r="K7" s="5" t="s">
        <v>47</v>
      </c>
      <c r="L7" s="6" t="s">
        <v>29</v>
      </c>
      <c r="M7" s="7" t="n">
        <v>4</v>
      </c>
      <c r="N7" s="7" t="n">
        <v>3</v>
      </c>
      <c r="O7" s="7" t="n">
        <v>4</v>
      </c>
      <c r="P7" s="8" t="n">
        <f aca="false">M7*Legenda!$C$4+N7*Legenda!$C$5+O7*Legenda!$C$6</f>
        <v>3.65</v>
      </c>
      <c r="Q7" s="9" t="n">
        <f aca="false">RANK(P7,$P$5:$P$17)</f>
        <v>6</v>
      </c>
    </row>
    <row r="8" customFormat="false" ht="120" hidden="false" customHeight="true" outlineLevel="0" collapsed="false">
      <c r="A8" s="4" t="n">
        <v>4</v>
      </c>
      <c r="B8" s="5" t="s">
        <v>48</v>
      </c>
      <c r="C8" s="5" t="s">
        <v>49</v>
      </c>
      <c r="D8" s="5" t="s">
        <v>50</v>
      </c>
      <c r="E8" s="4" t="s">
        <v>51</v>
      </c>
      <c r="F8" s="5" t="s">
        <v>52</v>
      </c>
      <c r="G8" s="5" t="s">
        <v>53</v>
      </c>
      <c r="H8" s="4" t="s">
        <v>54</v>
      </c>
      <c r="I8" s="5" t="s">
        <v>55</v>
      </c>
      <c r="J8" s="5" t="s">
        <v>56</v>
      </c>
      <c r="K8" s="5" t="s">
        <v>32</v>
      </c>
      <c r="L8" s="11" t="s">
        <v>57</v>
      </c>
      <c r="M8" s="7" t="n">
        <v>4</v>
      </c>
      <c r="N8" s="7" t="n">
        <v>4</v>
      </c>
      <c r="O8" s="7" t="n">
        <v>5</v>
      </c>
      <c r="P8" s="8" t="n">
        <f aca="false">M8*Legenda!$C$4+N8*Legenda!$C$5+O8*Legenda!$C$6</f>
        <v>4.25</v>
      </c>
      <c r="Q8" s="9" t="n">
        <f aca="false">RANK(P8,$P$5:$P$17)</f>
        <v>2</v>
      </c>
    </row>
    <row r="9" customFormat="false" ht="120" hidden="false" customHeight="true" outlineLevel="0" collapsed="false">
      <c r="A9" s="4" t="n">
        <v>5</v>
      </c>
      <c r="B9" s="5" t="s">
        <v>48</v>
      </c>
      <c r="C9" s="5" t="s">
        <v>58</v>
      </c>
      <c r="D9" s="5" t="s">
        <v>59</v>
      </c>
      <c r="E9" s="4" t="s">
        <v>60</v>
      </c>
      <c r="F9" s="5" t="s">
        <v>61</v>
      </c>
      <c r="G9" s="5" t="s">
        <v>62</v>
      </c>
      <c r="H9" s="4" t="s">
        <v>63</v>
      </c>
      <c r="I9" s="5" t="s">
        <v>64</v>
      </c>
      <c r="J9" s="5" t="s">
        <v>32</v>
      </c>
      <c r="K9" s="5" t="s">
        <v>65</v>
      </c>
      <c r="L9" s="12" t="s">
        <v>66</v>
      </c>
      <c r="M9" s="7" t="n">
        <v>3</v>
      </c>
      <c r="N9" s="7" t="n">
        <v>1</v>
      </c>
      <c r="O9" s="7" t="n">
        <v>1</v>
      </c>
      <c r="P9" s="8" t="n">
        <f aca="false">M9*Legenda!$C$4+N9*Legenda!$C$5+O9*Legenda!$C$6</f>
        <v>1.8</v>
      </c>
      <c r="Q9" s="9" t="n">
        <f aca="false">RANK(P9,$P$5:$P$17)</f>
        <v>13</v>
      </c>
    </row>
    <row r="10" customFormat="false" ht="120" hidden="false" customHeight="true" outlineLevel="0" collapsed="false">
      <c r="A10" s="4" t="n">
        <v>6</v>
      </c>
      <c r="B10" s="5" t="s">
        <v>67</v>
      </c>
      <c r="C10" s="5" t="s">
        <v>68</v>
      </c>
      <c r="D10" s="5" t="s">
        <v>69</v>
      </c>
      <c r="E10" s="4" t="s">
        <v>70</v>
      </c>
      <c r="F10" s="5" t="s">
        <v>71</v>
      </c>
      <c r="G10" s="5" t="s">
        <v>72</v>
      </c>
      <c r="H10" s="4" t="s">
        <v>25</v>
      </c>
      <c r="I10" s="5" t="s">
        <v>73</v>
      </c>
      <c r="J10" s="5" t="s">
        <v>74</v>
      </c>
      <c r="K10" s="5" t="s">
        <v>75</v>
      </c>
      <c r="L10" s="10" t="s">
        <v>38</v>
      </c>
      <c r="M10" s="7" t="n">
        <v>4</v>
      </c>
      <c r="N10" s="7" t="n">
        <v>5</v>
      </c>
      <c r="O10" s="7" t="n">
        <v>3</v>
      </c>
      <c r="P10" s="8" t="n">
        <f aca="false">M10*Legenda!$C$4+N10*Legenda!$C$5+O10*Legenda!$C$6</f>
        <v>4.1</v>
      </c>
      <c r="Q10" s="9" t="n">
        <f aca="false">RANK(P10,$P$5:$P$17)</f>
        <v>3</v>
      </c>
    </row>
    <row r="11" customFormat="false" ht="120" hidden="false" customHeight="true" outlineLevel="0" collapsed="false">
      <c r="A11" s="4" t="n">
        <v>7</v>
      </c>
      <c r="B11" s="5" t="s">
        <v>76</v>
      </c>
      <c r="C11" s="5" t="s">
        <v>77</v>
      </c>
      <c r="D11" s="5" t="s">
        <v>78</v>
      </c>
      <c r="E11" s="4" t="s">
        <v>32</v>
      </c>
      <c r="F11" s="5" t="s">
        <v>79</v>
      </c>
      <c r="G11" s="5" t="s">
        <v>80</v>
      </c>
      <c r="H11" s="4" t="s">
        <v>25</v>
      </c>
      <c r="I11" s="5" t="s">
        <v>81</v>
      </c>
      <c r="J11" s="5" t="s">
        <v>82</v>
      </c>
      <c r="K11" s="5" t="s">
        <v>83</v>
      </c>
      <c r="L11" s="6" t="s">
        <v>29</v>
      </c>
      <c r="M11" s="7" t="n">
        <v>4</v>
      </c>
      <c r="N11" s="7" t="n">
        <v>5</v>
      </c>
      <c r="O11" s="7" t="n">
        <v>4</v>
      </c>
      <c r="P11" s="8" t="n">
        <f aca="false">M11*Legenda!$C$4+N11*Legenda!$C$5+O11*Legenda!$C$6</f>
        <v>4.35</v>
      </c>
      <c r="Q11" s="9" t="n">
        <f aca="false">RANK(P11,$P$5:$P$17)</f>
        <v>1</v>
      </c>
    </row>
    <row r="12" customFormat="false" ht="120" hidden="false" customHeight="true" outlineLevel="0" collapsed="false">
      <c r="A12" s="4" t="n">
        <v>8</v>
      </c>
      <c r="B12" s="5" t="s">
        <v>84</v>
      </c>
      <c r="C12" s="5" t="s">
        <v>85</v>
      </c>
      <c r="D12" s="5" t="s">
        <v>86</v>
      </c>
      <c r="E12" s="4" t="s">
        <v>32</v>
      </c>
      <c r="F12" s="5" t="s">
        <v>87</v>
      </c>
      <c r="G12" s="5" t="s">
        <v>88</v>
      </c>
      <c r="H12" s="4" t="s">
        <v>25</v>
      </c>
      <c r="I12" s="5" t="s">
        <v>89</v>
      </c>
      <c r="J12" s="5" t="s">
        <v>90</v>
      </c>
      <c r="K12" s="5" t="s">
        <v>91</v>
      </c>
      <c r="L12" s="10" t="s">
        <v>92</v>
      </c>
      <c r="M12" s="7" t="n">
        <v>4</v>
      </c>
      <c r="N12" s="7" t="n">
        <v>5</v>
      </c>
      <c r="O12" s="7" t="n">
        <v>3</v>
      </c>
      <c r="P12" s="8" t="n">
        <f aca="false">M12*Legenda!$C$4+N12*Legenda!$C$5+O12*Legenda!$C$6</f>
        <v>4.1</v>
      </c>
      <c r="Q12" s="9" t="n">
        <f aca="false">RANK(P12,$P$5:$P$17)</f>
        <v>3</v>
      </c>
    </row>
    <row r="13" customFormat="false" ht="120" hidden="false" customHeight="true" outlineLevel="0" collapsed="false">
      <c r="A13" s="4" t="n">
        <v>9</v>
      </c>
      <c r="B13" s="5" t="s">
        <v>93</v>
      </c>
      <c r="C13" s="5" t="s">
        <v>94</v>
      </c>
      <c r="D13" s="5" t="s">
        <v>95</v>
      </c>
      <c r="E13" s="4" t="s">
        <v>96</v>
      </c>
      <c r="F13" s="5" t="s">
        <v>97</v>
      </c>
      <c r="G13" s="5" t="s">
        <v>98</v>
      </c>
      <c r="H13" s="4" t="s">
        <v>25</v>
      </c>
      <c r="I13" s="5" t="s">
        <v>99</v>
      </c>
      <c r="J13" s="5" t="s">
        <v>100</v>
      </c>
      <c r="K13" s="5" t="s">
        <v>101</v>
      </c>
      <c r="L13" s="10" t="s">
        <v>38</v>
      </c>
      <c r="M13" s="7" t="n">
        <v>3</v>
      </c>
      <c r="N13" s="7" t="n">
        <v>4</v>
      </c>
      <c r="O13" s="7" t="n">
        <v>3</v>
      </c>
      <c r="P13" s="8" t="n">
        <f aca="false">M13*Legenda!$C$4+N13*Legenda!$C$5+O13*Legenda!$C$6</f>
        <v>3.35</v>
      </c>
      <c r="Q13" s="9" t="n">
        <f aca="false">RANK(P13,$P$5:$P$17)</f>
        <v>8</v>
      </c>
    </row>
    <row r="14" customFormat="false" ht="120" hidden="false" customHeight="true" outlineLevel="0" collapsed="false">
      <c r="A14" s="4" t="n">
        <v>10</v>
      </c>
      <c r="B14" s="5" t="s">
        <v>76</v>
      </c>
      <c r="C14" s="5" t="s">
        <v>102</v>
      </c>
      <c r="D14" s="5" t="s">
        <v>86</v>
      </c>
      <c r="E14" s="4" t="s">
        <v>32</v>
      </c>
      <c r="F14" s="5" t="s">
        <v>103</v>
      </c>
      <c r="G14" s="5" t="s">
        <v>104</v>
      </c>
      <c r="H14" s="4" t="s">
        <v>44</v>
      </c>
      <c r="I14" s="5" t="s">
        <v>105</v>
      </c>
      <c r="J14" s="5" t="s">
        <v>54</v>
      </c>
      <c r="K14" s="5" t="s">
        <v>106</v>
      </c>
      <c r="L14" s="6" t="s">
        <v>29</v>
      </c>
      <c r="M14" s="7" t="n">
        <v>3</v>
      </c>
      <c r="N14" s="7" t="n">
        <v>3</v>
      </c>
      <c r="O14" s="7" t="n">
        <v>4</v>
      </c>
      <c r="P14" s="8" t="n">
        <f aca="false">M14*Legenda!$C$4+N14*Legenda!$C$5+O14*Legenda!$C$6</f>
        <v>3.25</v>
      </c>
      <c r="Q14" s="9" t="n">
        <f aca="false">RANK(P14,$P$5:$P$17)</f>
        <v>10</v>
      </c>
    </row>
    <row r="15" customFormat="false" ht="120" hidden="false" customHeight="true" outlineLevel="0" collapsed="false">
      <c r="A15" s="4" t="n">
        <v>11</v>
      </c>
      <c r="B15" s="5" t="s">
        <v>107</v>
      </c>
      <c r="C15" s="5" t="s">
        <v>108</v>
      </c>
      <c r="D15" s="5" t="s">
        <v>86</v>
      </c>
      <c r="E15" s="4" t="s">
        <v>32</v>
      </c>
      <c r="F15" s="5" t="s">
        <v>109</v>
      </c>
      <c r="G15" s="5" t="s">
        <v>110</v>
      </c>
      <c r="H15" s="4" t="s">
        <v>25</v>
      </c>
      <c r="I15" s="5" t="s">
        <v>111</v>
      </c>
      <c r="J15" s="5" t="s">
        <v>63</v>
      </c>
      <c r="K15" s="5" t="s">
        <v>112</v>
      </c>
      <c r="L15" s="10" t="s">
        <v>38</v>
      </c>
      <c r="M15" s="7" t="n">
        <v>3</v>
      </c>
      <c r="N15" s="7" t="n">
        <v>4</v>
      </c>
      <c r="O15" s="7" t="n">
        <v>3</v>
      </c>
      <c r="P15" s="8" t="n">
        <f aca="false">M15*Legenda!$C$4+N15*Legenda!$C$5+O15*Legenda!$C$6</f>
        <v>3.35</v>
      </c>
      <c r="Q15" s="9" t="n">
        <f aca="false">RANK(P15,$P$5:$P$17)</f>
        <v>8</v>
      </c>
    </row>
    <row r="16" customFormat="false" ht="120" hidden="false" customHeight="true" outlineLevel="0" collapsed="false">
      <c r="A16" s="4" t="n">
        <v>12</v>
      </c>
      <c r="B16" s="5" t="s">
        <v>113</v>
      </c>
      <c r="C16" s="5" t="s">
        <v>114</v>
      </c>
      <c r="D16" s="5" t="s">
        <v>115</v>
      </c>
      <c r="E16" s="4" t="s">
        <v>116</v>
      </c>
      <c r="F16" s="5" t="s">
        <v>117</v>
      </c>
      <c r="G16" s="5" t="s">
        <v>118</v>
      </c>
      <c r="H16" s="4" t="s">
        <v>63</v>
      </c>
      <c r="I16" s="5" t="s">
        <v>119</v>
      </c>
      <c r="J16" s="5" t="s">
        <v>32</v>
      </c>
      <c r="K16" s="5" t="s">
        <v>120</v>
      </c>
      <c r="L16" s="12" t="s">
        <v>66</v>
      </c>
      <c r="M16" s="7" t="n">
        <v>5</v>
      </c>
      <c r="N16" s="7" t="n">
        <v>1</v>
      </c>
      <c r="O16" s="7" t="n">
        <v>1</v>
      </c>
      <c r="P16" s="8" t="n">
        <f aca="false">M16*Legenda!$C$4+N16*Legenda!$C$5+O16*Legenda!$C$6</f>
        <v>2.6</v>
      </c>
      <c r="Q16" s="9" t="n">
        <f aca="false">RANK(P16,$P$5:$P$17)</f>
        <v>11</v>
      </c>
    </row>
    <row r="17" customFormat="false" ht="120" hidden="false" customHeight="true" outlineLevel="0" collapsed="false">
      <c r="A17" s="4" t="n">
        <v>13</v>
      </c>
      <c r="B17" s="5" t="s">
        <v>121</v>
      </c>
      <c r="C17" s="5" t="s">
        <v>122</v>
      </c>
      <c r="D17" s="5" t="s">
        <v>123</v>
      </c>
      <c r="E17" s="4" t="s">
        <v>124</v>
      </c>
      <c r="F17" s="5" t="s">
        <v>125</v>
      </c>
      <c r="G17" s="5" t="s">
        <v>126</v>
      </c>
      <c r="H17" s="4" t="s">
        <v>63</v>
      </c>
      <c r="I17" s="5" t="s">
        <v>119</v>
      </c>
      <c r="J17" s="5" t="s">
        <v>32</v>
      </c>
      <c r="K17" s="5" t="s">
        <v>127</v>
      </c>
      <c r="L17" s="12" t="s">
        <v>66</v>
      </c>
      <c r="M17" s="7" t="n">
        <v>5</v>
      </c>
      <c r="N17" s="7" t="n">
        <v>1</v>
      </c>
      <c r="O17" s="7" t="n">
        <v>1</v>
      </c>
      <c r="P17" s="8" t="n">
        <f aca="false">M17*Legenda!$C$4+N17*Legenda!$C$5+O17*Legenda!$C$6</f>
        <v>2.6</v>
      </c>
      <c r="Q17" s="9" t="n">
        <f aca="false">RANK(P17,$P$5:$P$17)</f>
        <v>11</v>
      </c>
    </row>
  </sheetData>
  <autoFilter ref="A4:Q1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2"/>
    <col collapsed="false" customWidth="true" hidden="false" outlineLevel="0" max="3" min="3" style="0" width="12"/>
    <col collapsed="false" customWidth="true" hidden="false" outlineLevel="0" max="4" min="4" style="0" width="90"/>
  </cols>
  <sheetData>
    <row r="1" customFormat="false" ht="16.15" hidden="false" customHeight="false" outlineLevel="0" collapsed="false">
      <c r="A1" s="13" t="s">
        <v>128</v>
      </c>
    </row>
    <row r="3" customFormat="false" ht="26.85" hidden="false" customHeight="false" outlineLevel="0" collapsed="false">
      <c r="A3" s="14" t="s">
        <v>129</v>
      </c>
      <c r="B3" s="14" t="s">
        <v>130</v>
      </c>
      <c r="C3" s="14" t="s">
        <v>131</v>
      </c>
      <c r="D3" s="14" t="s">
        <v>132</v>
      </c>
    </row>
    <row r="4" customFormat="false" ht="26.85" hidden="false" customHeight="false" outlineLevel="0" collapsed="false">
      <c r="A4" s="15" t="s">
        <v>133</v>
      </c>
      <c r="B4" s="15" t="s">
        <v>134</v>
      </c>
      <c r="C4" s="16" t="n">
        <v>0.4</v>
      </c>
      <c r="D4" s="15" t="s">
        <v>135</v>
      </c>
    </row>
    <row r="5" customFormat="false" ht="26.85" hidden="false" customHeight="false" outlineLevel="0" collapsed="false">
      <c r="A5" s="15" t="s">
        <v>136</v>
      </c>
      <c r="B5" s="15" t="s">
        <v>137</v>
      </c>
      <c r="C5" s="16" t="n">
        <v>0.35</v>
      </c>
      <c r="D5" s="15" t="s">
        <v>138</v>
      </c>
    </row>
    <row r="6" customFormat="false" ht="26.85" hidden="false" customHeight="false" outlineLevel="0" collapsed="false">
      <c r="A6" s="15" t="s">
        <v>139</v>
      </c>
      <c r="B6" s="15" t="s">
        <v>140</v>
      </c>
      <c r="C6" s="16" t="n">
        <v>0.25</v>
      </c>
      <c r="D6" s="15" t="s">
        <v>141</v>
      </c>
    </row>
    <row r="7" customFormat="false" ht="15" hidden="false" customHeight="false" outlineLevel="0" collapsed="false">
      <c r="A7" s="15"/>
      <c r="B7" s="17" t="s">
        <v>142</v>
      </c>
      <c r="C7" s="18" t="n">
        <f aca="false">SUM(C4:C6)</f>
        <v>1</v>
      </c>
      <c r="D7" s="15"/>
    </row>
    <row r="8" customFormat="false" ht="15" hidden="false" customHeight="false" outlineLevel="0" collapsed="false">
      <c r="A8" s="19"/>
      <c r="B8" s="19"/>
      <c r="C8" s="19"/>
      <c r="D8" s="19"/>
    </row>
    <row r="9" customFormat="false" ht="31.5" hidden="false" customHeight="true" outlineLevel="0" collapsed="false">
      <c r="A9" s="19" t="s">
        <v>143</v>
      </c>
      <c r="B9" s="20" t="s">
        <v>144</v>
      </c>
      <c r="C9" s="20"/>
      <c r="D9" s="20"/>
    </row>
    <row r="10" customFormat="false" ht="31.5" hidden="false" customHeight="true" outlineLevel="0" collapsed="false">
      <c r="A10" s="19" t="s">
        <v>143</v>
      </c>
      <c r="B10" s="20" t="s">
        <v>145</v>
      </c>
      <c r="C10" s="20"/>
      <c r="D10" s="20"/>
    </row>
    <row r="11" customFormat="false" ht="31.5" hidden="false" customHeight="true" outlineLevel="0" collapsed="false">
      <c r="A11" s="19" t="s">
        <v>143</v>
      </c>
      <c r="B11" s="20" t="s">
        <v>146</v>
      </c>
      <c r="C11" s="20"/>
      <c r="D11" s="20"/>
    </row>
    <row r="12" customFormat="false" ht="31.5" hidden="false" customHeight="true" outlineLevel="0" collapsed="false">
      <c r="A12" s="19" t="s">
        <v>143</v>
      </c>
      <c r="B12" s="20" t="s">
        <v>147</v>
      </c>
      <c r="C12" s="20"/>
      <c r="D12" s="20"/>
    </row>
  </sheetData>
  <mergeCells count="4">
    <mergeCell ref="B9:D9"/>
    <mergeCell ref="B10:D10"/>
    <mergeCell ref="B11:D11"/>
    <mergeCell ref="B12:D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0"/>
    <col collapsed="false" customWidth="true" hidden="false" outlineLevel="0" max="3" min="3" style="0" width="70"/>
  </cols>
  <sheetData>
    <row r="1" customFormat="false" ht="16.15" hidden="false" customHeight="false" outlineLevel="0" collapsed="false">
      <c r="A1" s="13" t="s">
        <v>148</v>
      </c>
    </row>
    <row r="3" customFormat="false" ht="15" hidden="false" customHeight="false" outlineLevel="0" collapsed="false">
      <c r="A3" s="21" t="s">
        <v>149</v>
      </c>
      <c r="B3" s="21" t="s">
        <v>6</v>
      </c>
      <c r="C3" s="21" t="s">
        <v>150</v>
      </c>
    </row>
    <row r="4" customFormat="false" ht="26.85" hidden="false" customHeight="false" outlineLevel="0" collapsed="false">
      <c r="A4" s="22" t="s">
        <v>96</v>
      </c>
      <c r="B4" s="22" t="s">
        <v>151</v>
      </c>
      <c r="C4" s="23" t="s">
        <v>152</v>
      </c>
    </row>
    <row r="5" customFormat="false" ht="15" hidden="false" customHeight="false" outlineLevel="0" collapsed="false">
      <c r="A5" s="22" t="s">
        <v>153</v>
      </c>
      <c r="B5" s="22" t="s">
        <v>154</v>
      </c>
      <c r="C5" s="23" t="s">
        <v>155</v>
      </c>
    </row>
    <row r="6" customFormat="false" ht="15" hidden="false" customHeight="false" outlineLevel="0" collapsed="false">
      <c r="A6" s="22" t="s">
        <v>41</v>
      </c>
      <c r="B6" s="22" t="s">
        <v>156</v>
      </c>
      <c r="C6" s="23" t="s">
        <v>157</v>
      </c>
    </row>
    <row r="7" customFormat="false" ht="15" hidden="false" customHeight="false" outlineLevel="0" collapsed="false">
      <c r="A7" s="22" t="s">
        <v>158</v>
      </c>
      <c r="B7" s="22" t="s">
        <v>159</v>
      </c>
      <c r="C7" s="23" t="s">
        <v>160</v>
      </c>
    </row>
    <row r="8" customFormat="false" ht="15" hidden="false" customHeight="false" outlineLevel="0" collapsed="false">
      <c r="A8" s="22" t="s">
        <v>161</v>
      </c>
      <c r="B8" s="22" t="s">
        <v>162</v>
      </c>
      <c r="C8" s="23" t="s">
        <v>163</v>
      </c>
    </row>
    <row r="9" customFormat="false" ht="15" hidden="false" customHeight="false" outlineLevel="0" collapsed="false">
      <c r="A9" s="22" t="s">
        <v>164</v>
      </c>
      <c r="B9" s="22" t="s">
        <v>165</v>
      </c>
      <c r="C9" s="23" t="s">
        <v>166</v>
      </c>
    </row>
    <row r="10" customFormat="false" ht="15" hidden="false" customHeight="false" outlineLevel="0" collapsed="false">
      <c r="A10" s="22" t="s">
        <v>167</v>
      </c>
      <c r="B10" s="22" t="s">
        <v>168</v>
      </c>
      <c r="C10" s="23" t="s">
        <v>169</v>
      </c>
    </row>
    <row r="11" customFormat="false" ht="15" hidden="false" customHeight="false" outlineLevel="0" collapsed="false">
      <c r="A11" s="22" t="s">
        <v>170</v>
      </c>
      <c r="B11" s="22" t="s">
        <v>171</v>
      </c>
      <c r="C11" s="23" t="s">
        <v>172</v>
      </c>
    </row>
    <row r="12" customFormat="false" ht="15" hidden="false" customHeight="false" outlineLevel="0" collapsed="false">
      <c r="A12" s="22" t="s">
        <v>173</v>
      </c>
      <c r="B12" s="22" t="s">
        <v>174</v>
      </c>
      <c r="C12" s="23" t="s">
        <v>175</v>
      </c>
    </row>
    <row r="13" customFormat="false" ht="15" hidden="false" customHeight="false" outlineLevel="0" collapsed="false">
      <c r="A13" s="22" t="s">
        <v>176</v>
      </c>
      <c r="B13" s="22" t="s">
        <v>177</v>
      </c>
      <c r="C13" s="23" t="s">
        <v>178</v>
      </c>
    </row>
    <row r="14" customFormat="false" ht="15" hidden="false" customHeight="false" outlineLevel="0" collapsed="false">
      <c r="A14" s="22" t="s">
        <v>116</v>
      </c>
      <c r="B14" s="22" t="s">
        <v>179</v>
      </c>
      <c r="C14" s="23" t="s">
        <v>180</v>
      </c>
    </row>
    <row r="15" customFormat="false" ht="15" hidden="false" customHeight="false" outlineLevel="0" collapsed="false">
      <c r="A15" s="22" t="s">
        <v>181</v>
      </c>
      <c r="B15" s="22" t="s">
        <v>182</v>
      </c>
      <c r="C15" s="23" t="s">
        <v>183</v>
      </c>
    </row>
    <row r="16" customFormat="false" ht="15" hidden="false" customHeight="false" outlineLevel="0" collapsed="false">
      <c r="A16" s="22" t="s">
        <v>184</v>
      </c>
      <c r="B16" s="22" t="s">
        <v>185</v>
      </c>
      <c r="C16" s="23" t="s">
        <v>186</v>
      </c>
    </row>
  </sheetData>
  <hyperlinks>
    <hyperlink ref="C4" r:id="rId1" display="https://www.beverfood.com/ristorazione-2025-prenotazioni-digitali-e-fidelizzazione/"/>
    <hyperlink ref="C5" r:id="rId2" display="https://www.businessonline.it/news/cosa-si-rischia-se-si-prenota-al-ristorante-e-non-ci-si-presenta_n83960.html"/>
    <hyperlink ref="C6" r:id="rId3" display="https://www.panorama.it/attualita/economia/prenotazioni-online-e-cancellazioni-lampo-otto-ristoranti-su-dieci-rischiano-di-perdere-la-meta-dei-clienti"/>
    <hyperlink ref="C7" r:id="rId4" display="https://www.intotheminds.com/blog/it/carta-di-credito-deposito-ristorante/"/>
    <hyperlink ref="C8" r:id="rId5" display="https://www.larassegna.it/scarica-pdf/prenotazioni-on-line-per-i-ristoratori-una-sfida-da-non-rimandare/"/>
    <hyperlink ref="C9" r:id="rId6" display="https://www.corrierecomunicazioni.it/digital-economy/the-fork-le-commissioni-salgono-del-126-fipe-aumenti-ingiustificati/"/>
    <hyperlink ref="C10" r:id="rId7" display="https://www.gamberorosso.it/notizie/quanto-costa-il-food-delivery-ai-ristoranti-conviene-davvero/"/>
    <hyperlink ref="C11" r:id="rId8" display="https://www.fooderise.com/en/platforms"/>
    <hyperlink ref="C12" r:id="rId9" display="https://www.gamberorosso.it/notizie/attualita/recensioni-negative-ristoranti-impatti-dati/"/>
    <hyperlink ref="C13" r:id="rId10" display="https://www.gamberorosso.it/ristoranti/recensioni-false/"/>
    <hyperlink ref="C14" r:id="rId11" display="https://www.milanofinanza.it/news/ristorazione-nel-2025-i-consumi-aumentato-a-100-miliardi-ma-restano-sotto-il-livello-pre-covid-202604091301405893"/>
    <hyperlink ref="C15" r:id="rId12" display="https://www.gamberorosso.it/notizie/attualita/ristorazione-rapporto-fipe-2025/"/>
    <hyperlink ref="C16" r:id="rId13" display="https://www.businessonline.it/news/come-va-ristorazione-italia-dati-statistiche-fatturazione-utili_n77121.htm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2026-10-17T16:02:44Z</dcterms:created>
  <dc:creator>openpyxl</dc:creator>
  <dc:description/>
  <dc:language>en-US</dc:language>
  <cp:lastModifiedBy/>
  <dcterms:modified xsi:type="dcterms:W3CDTF">2026-10-17T16:02:44Z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